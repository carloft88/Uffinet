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softtek-my.sharepoint.com/personal/carlos_castrillon_softtek_com/Documents/Documentos/DVOPS/"/>
    </mc:Choice>
  </mc:AlternateContent>
  <xr:revisionPtr revIDLastSave="899" documentId="8_{FAE1C184-5B21-4FF4-A818-C9A27601C534}" xr6:coauthVersionLast="47" xr6:coauthVersionMax="47" xr10:uidLastSave="{E4BA9C48-7B35-453C-B48D-A322C1D500A4}"/>
  <bookViews>
    <workbookView minimized="1" xWindow="34095" yWindow="4500" windowWidth="17280" windowHeight="8940" xr2:uid="{2305BEB7-FF59-4A64-8042-4214C9D0B76E}"/>
  </bookViews>
  <sheets>
    <sheet name="Sheet1" sheetId="1" r:id="rId1"/>
    <sheet name="VSTS_ValidationWS_1" sheetId="2" state="veryHidden" r:id="rId2"/>
  </sheets>
  <definedNames>
    <definedName name="VSTS_4d263679_3909_43d4_bec5_2c1828b81abc_1" hidden="1">Sheet1!$F$5:$F$13</definedName>
    <definedName name="VSTS_4d263679_3909_43d4_bec5_2c1828b81abc_2" hidden="1">Sheet1!#REF!</definedName>
    <definedName name="VSTS_4d263679_3909_43d4_bec5_2c1828b81abc_24" hidden="1">Sheet1!$G$4:$G$13</definedName>
    <definedName name="VSTS_4d263679_3909_43d4_bec5_2c1828b81abc_25" hidden="1">Sheet1!$B$5:$B$12</definedName>
    <definedName name="VSTS_4d263679_3909_43d4_bec5_2c1828b81abc_80" hidden="1">Sheet1!#REF!</definedName>
    <definedName name="VSTS_4d263679_3909_43d4_bec5_2c1828b81abc_n3" hidden="1">Sheet1!$A$5:$A$12</definedName>
    <definedName name="VSTS_4d263679_3909_43d4_bec5_2c1828b81abc_n35" hidden="1">Sheet1!#REF!</definedName>
    <definedName name="VSTS_ValidationRange_35d8b44049cc4044a7142ab6dd9b9638" hidden="1">VSTS_ValidationWS_1!$A$1</definedName>
    <definedName name="VSTS_ValidationRange_65efcbdd1c414e3ca137178e9d375a25" hidden="1">VSTS_ValidationWS_1!$C$1</definedName>
    <definedName name="VSTS_ValidationRange_75e1d88483744b5191f1e16777826518" hidden="1">VSTS_ValidationWS_1!$B$1</definedName>
    <definedName name="VSTS_ValidationRange_a17f785f29004303a620715383786d69" hidden="1">VSTS_ValidationWS_1!$D$1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B12" i="1"/>
  <c r="F10" i="1"/>
  <c r="F9" i="1"/>
  <c r="C7" i="1"/>
  <c r="F7" i="1" s="1"/>
  <c r="F3" i="1"/>
  <c r="F2" i="1"/>
  <c r="F4" i="1"/>
</calcChain>
</file>

<file path=xl/sharedStrings.xml><?xml version="1.0" encoding="utf-8"?>
<sst xmlns="http://schemas.openxmlformats.org/spreadsheetml/2006/main" count="39" uniqueCount="33">
  <si>
    <t>value doesn't matter</t>
  </si>
  <si>
    <t>readOnlyTestRange_@</t>
  </si>
  <si>
    <t>readOnlyTestRange_0</t>
  </si>
  <si>
    <t>readOnlyTestRange_d/MM/yyyy h:mm AM/PM</t>
  </si>
  <si>
    <t>readOnlyTestRange_General</t>
  </si>
  <si>
    <t xml:space="preserve">  CREATE USER [</t>
  </si>
  <si>
    <t>IF NOT EXISTS (SELECT 1 FROM sys.database_principals WHERE name = '</t>
  </si>
  <si>
    <t xml:space="preserve"> FROM EXTERNAL PROVIDER;</t>
  </si>
  <si>
    <t>MFA</t>
  </si>
  <si>
    <t>ALTER ROLE [</t>
  </si>
  <si>
    <t>DEV_ROLE</t>
  </si>
  <si>
    <t>] ADD MEMBER [</t>
  </si>
  <si>
    <t>];</t>
  </si>
  <si>
    <t>] DROP MEMBER [</t>
  </si>
  <si>
    <t>Usuario SQL</t>
  </si>
  <si>
    <t xml:space="preserve">CREATE LOGIN </t>
  </si>
  <si>
    <t xml:space="preserve">EXEC sp_addrolemember </t>
  </si>
  <si>
    <t xml:space="preserve"> WITH PASSWORD = '</t>
  </si>
  <si>
    <t xml:space="preserve">CREATE USER </t>
  </si>
  <si>
    <t xml:space="preserve"> FOR LOGIN </t>
  </si>
  <si>
    <t>Readonly_role</t>
  </si>
  <si>
    <t>CREATE LOGIN [</t>
  </si>
  <si>
    <t>FROM EXTERNAL PROVIDER;</t>
  </si>
  <si>
    <t>IF NOT EXISTS (SELECT 1 FROM sys.server_principals WHERE name = '</t>
  </si>
  <si>
    <t>drop user [</t>
  </si>
  <si>
    <t>MASTER</t>
  </si>
  <si>
    <t>EN BD</t>
  </si>
  <si>
    <t>ROL ADD</t>
  </si>
  <si>
    <t>ROL DEL</t>
  </si>
  <si>
    <t>userGdeDev</t>
  </si>
  <si>
    <t xml:space="preserve">Dasfds452*432
</t>
  </si>
  <si>
    <t>ccastillonc@ufinet.com</t>
  </si>
  <si>
    <t>DB_OWNER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</si>
</sst>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\ h:mm\ AM/PM"/>
  </numFmts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 Unicode MS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sz val="8"/>
      <color rgb="FF323130"/>
      <name val="Segoe UI Variable Text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1" applyBorder="1" applyAlignment="1">
      <alignment wrapText="1"/>
    </xf>
    <xf numFmtId="0" fontId="4" fillId="0" borderId="0" xfId="0" applyFont="1"/>
    <xf numFmtId="0" fontId="1" fillId="0" borderId="0" xfId="1" applyBorder="1" applyAlignment="1">
      <alignment wrapText="1"/>
    </xf>
    <xf numFmtId="0" fontId="1" fillId="0" borderId="0" xfId="1"/>
    <xf numFmtId="0" fontId="0" fillId="2" borderId="0" xfId="0" applyFill="1"/>
    <xf numFmtId="0" fontId="3" fillId="3" borderId="1" xfId="0" applyFont="1" applyFill="1" applyBorder="1" applyAlignment="1">
      <alignment wrapText="1"/>
    </xf>
    <xf numFmtId="0" fontId="4" fillId="4" borderId="0" xfId="0" applyFont="1" applyFill="1"/>
    <xf numFmtId="49" fontId="0" fillId="4" borderId="0" xfId="0" applyNumberFormat="1" applyFill="1"/>
    <xf numFmtId="0" fontId="0" fillId="4" borderId="0" xfId="0" applyFill="1"/>
    <xf numFmtId="1" fontId="0" fillId="4" borderId="0" xfId="0" applyNumberFormat="1" applyFill="1"/>
    <xf numFmtId="0" fontId="1" fillId="3" borderId="0" xfId="1" applyFill="1" applyAlignment="1">
      <alignment wrapText="1"/>
    </xf>
    <xf numFmtId="0" fontId="0" fillId="0" borderId="0" xfId="0" applyNumberFormat="1"/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9@sRdhd*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86122-A7D0-4880-92F7-815596204ED9}">
  <dimension ref="A1:G13"/>
  <sheetViews>
    <sheetView tabSelected="1" zoomScale="130" zoomScaleNormal="130" workbookViewId="0">
      <selection activeCell="F9" sqref="F9"/>
    </sheetView>
  </sheetViews>
  <sheetFormatPr defaultRowHeight="14.4"/>
  <cols>
    <col min="1" max="2" width="21.77734375" customWidth="1"/>
    <col min="3" max="3" width="30.88671875" customWidth="1"/>
    <col min="4" max="4" width="15" hidden="1" customWidth="1"/>
    <col min="5" max="5" width="0.5546875" customWidth="1"/>
    <col min="6" max="6" width="88.6640625" customWidth="1"/>
    <col min="7" max="7" width="32.109375" customWidth="1"/>
  </cols>
  <sheetData>
    <row r="1" spans="1:7">
      <c r="A1" t="s">
        <v>14</v>
      </c>
    </row>
    <row r="2" spans="1:7" ht="43.2">
      <c r="A2" s="6" t="s">
        <v>15</v>
      </c>
      <c r="B2" s="10" t="s">
        <v>29</v>
      </c>
      <c r="C2" s="15" t="s">
        <v>30</v>
      </c>
      <c r="D2" t="s">
        <v>17</v>
      </c>
      <c r="F2" s="9" t="str">
        <f>_xlfn.CONCAT(A2," [",B2,"]",D2,C2,"'")</f>
        <v>CREATE LOGIN  [userGdeDev] WITH PASSWORD = 'Dasfds452*432
'</v>
      </c>
      <c r="G2" s="1" t="s">
        <v>25</v>
      </c>
    </row>
    <row r="3" spans="1:7">
      <c r="A3" s="6" t="s">
        <v>18</v>
      </c>
      <c r="C3" s="8" t="s">
        <v>19</v>
      </c>
      <c r="F3" s="9" t="str">
        <f>_xlfn.CONCAT(A3,,"[",$B$2,"]",C3,"[",B2,"]")</f>
        <v>CREATE USER [userGdeDev] FOR LOGIN [userGdeDev]</v>
      </c>
      <c r="G3" s="1" t="s">
        <v>26</v>
      </c>
    </row>
    <row r="4" spans="1:7">
      <c r="A4" s="6" t="s">
        <v>16</v>
      </c>
      <c r="B4" t="s">
        <v>20</v>
      </c>
      <c r="D4" s="6"/>
      <c r="F4" s="9" t="str">
        <f>_xlfn.CONCAT(A4,"'",B4,"', '",B2,"'")</f>
        <v>EXEC sp_addrolemember 'Readonly_role', 'userGdeDev'</v>
      </c>
      <c r="G4" s="1" t="s">
        <v>28</v>
      </c>
    </row>
    <row r="5" spans="1:7" s="13" customFormat="1">
      <c r="A5" s="11"/>
      <c r="B5" s="12"/>
      <c r="C5" s="12"/>
      <c r="D5" s="12"/>
      <c r="E5" s="12"/>
      <c r="F5" s="12"/>
      <c r="G5" s="12"/>
    </row>
    <row r="6" spans="1:7">
      <c r="A6" s="2" t="s">
        <v>8</v>
      </c>
      <c r="B6" s="17" t="s">
        <v>31</v>
      </c>
      <c r="C6" t="s">
        <v>23</v>
      </c>
      <c r="E6" s="1"/>
      <c r="F6" s="1"/>
      <c r="G6" s="1"/>
    </row>
    <row r="7" spans="1:7">
      <c r="A7" t="s">
        <v>21</v>
      </c>
      <c r="B7" t="s">
        <v>22</v>
      </c>
      <c r="C7" t="str">
        <f>_xlfn.CONCAT(A7,"",B6,"] FROM EXTERNAL PROVIDER;")</f>
        <v>CREATE LOGIN [ccastillonc@ufinet.com] FROM EXTERNAL PROVIDER;</v>
      </c>
      <c r="D7" s="1"/>
      <c r="E7" s="1"/>
      <c r="F7" s="9" t="str">
        <f>_xlfn.CONCAT(C6,B6,"')",C7)</f>
        <v>IF NOT EXISTS (SELECT 1 FROM sys.server_principals WHERE name = 'ccastillonc@ufinet.com')CREATE LOGIN [ccastillonc@ufinet.com] FROM EXTERNAL PROVIDER;</v>
      </c>
      <c r="G7" s="1" t="s">
        <v>25</v>
      </c>
    </row>
    <row r="8" spans="1:7">
      <c r="A8" s="4" t="s">
        <v>6</v>
      </c>
      <c r="B8" s="5"/>
      <c r="C8" s="7"/>
      <c r="D8" t="s">
        <v>5</v>
      </c>
      <c r="E8" t="s">
        <v>7</v>
      </c>
      <c r="F8" s="9" t="str">
        <f>_xlfn.CONCAT(A8,B6,"')",D8,B6,"]",E8)</f>
        <v>IF NOT EXISTS (SELECT 1 FROM sys.database_principals WHERE name = 'ccastillonc@ufinet.com')  CREATE USER [ccastillonc@ufinet.com] FROM EXTERNAL PROVIDER;</v>
      </c>
      <c r="G8" s="1" t="s">
        <v>26</v>
      </c>
    </row>
    <row r="9" spans="1:7">
      <c r="A9" t="s">
        <v>9</v>
      </c>
      <c r="B9" s="1" t="s">
        <v>32</v>
      </c>
      <c r="C9" s="1"/>
      <c r="D9" s="1" t="s">
        <v>11</v>
      </c>
      <c r="E9" s="1" t="s">
        <v>12</v>
      </c>
      <c r="F9" s="9" t="str">
        <f>_xlfn.CONCAT(A9,B9,D9,B6,E9)</f>
        <v>ALTER ROLE [DB_OWNER] ADD MEMBER [ccastillonc@ufinet.com];</v>
      </c>
      <c r="G9" s="1" t="s">
        <v>27</v>
      </c>
    </row>
    <row r="10" spans="1:7">
      <c r="A10" t="s">
        <v>9</v>
      </c>
      <c r="B10" s="1" t="s">
        <v>10</v>
      </c>
      <c r="C10" s="1"/>
      <c r="D10" s="1" t="s">
        <v>13</v>
      </c>
      <c r="E10" s="1" t="s">
        <v>12</v>
      </c>
      <c r="F10" s="9" t="str">
        <f>_xlfn.CONCAT(A10,B10,D10,$B$6,E10)</f>
        <v>ALTER ROLE [DEV_ROLE] DROP MEMBER [ccastillonc@ufinet.com];</v>
      </c>
    </row>
    <row r="11" spans="1:7" s="13" customFormat="1">
      <c r="A11" s="14"/>
      <c r="B11" s="12"/>
      <c r="C11" s="12"/>
      <c r="D11" s="12"/>
      <c r="E11" s="12"/>
      <c r="F11" s="12"/>
      <c r="G11" s="12"/>
    </row>
    <row r="12" spans="1:7">
      <c r="A12" s="2" t="s">
        <v>24</v>
      </c>
      <c r="B12" t="str">
        <f>_xlfn.CONCAT(A12,B6,"]")</f>
        <v>drop user [ccastillonc@ufinet.com]</v>
      </c>
      <c r="C12" s="1"/>
      <c r="D12" s="1"/>
      <c r="E12" s="1"/>
      <c r="F12" s="1"/>
      <c r="G12" s="1"/>
    </row>
    <row r="13" spans="1:7">
      <c r="C13" s="1"/>
      <c r="D13" s="1"/>
      <c r="E13" s="1"/>
      <c r="F13" s="1"/>
      <c r="G13" s="1"/>
    </row>
  </sheetData>
  <hyperlinks>
    <hyperlink ref="C2" r:id="rId1" display="9@sRdhd*ps" xr:uid="{5E32A7B5-F76C-4C78-9237-43E974C82D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BF74C-4863-4885-A7E0-4D00AB458900}">
  <dimension ref="A1:D2"/>
  <sheetViews>
    <sheetView workbookViewId="0"/>
  </sheetViews>
  <sheetFormatPr defaultRowHeight="14.4"/>
  <cols>
    <col min="1" max="4" width="200.77734375" customWidth="1"/>
  </cols>
  <sheetData>
    <row r="1" spans="1:4">
      <c r="A1" s="1" t="s">
        <v>0</v>
      </c>
      <c r="B1" s="2">
        <v>76995</v>
      </c>
      <c r="C1" s="3" t="s">
        <v>0</v>
      </c>
      <c r="D1" s="16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Andres Castrillon Correa</dc:creator>
  <cp:lastModifiedBy>Carlos Andres Castrillon Correa</cp:lastModifiedBy>
  <dcterms:created xsi:type="dcterms:W3CDTF">2025-10-22T20:01:18Z</dcterms:created>
  <dcterms:modified xsi:type="dcterms:W3CDTF">2025-12-01T18:01:29Z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9cc68939-9b01-41e0-ae23-defaaf6fee0c</vt:lpwstr>
  </property>
  <property fmtid="{D5CDD505-2E9C-101B-9397-08002B2CF9AE}" pid="3" name="VS Team System Data DO NOT EDIT0">
    <vt:lpwstr>RVpSRwEAAAC9Xdly20iW/RWEH+YNMkBsZE11dUiWHVaHF7Woqn7sSAJJGW2S4ACgXKq3+Zx+nk+oH5tcsGXiJuwA8nZH9MZbOsnD3O6eP//19+PBeaZllRenv7zyr7xXf/3l5+1W/chh/9Cp+surS3n6qUq/0COp3GOelkVV7Gs3LY4/PefVhRyq+pLlxU81Jcfqparp8adiv89TWtVFSZ7oq19+/s1hkOey+BdN60/kSF859V9ebbsBXv1yXxY</vt:lpwstr>
  </property>
  <property fmtid="{D5CDD505-2E9C-101B-9397-08002B2CF9AE}" pid="4" name="VS Team System Data DO NOT EDIT1">
    <vt:lpwstr>vTFZU/3z7XBwudf5cVD+//k39y1/LfPSHz1W9r356/fr1mwOpqpwNS2pG4PUj+zL38s9ep7tduI/3qZsE69ANN2Ho7pJN4u42sbf2V16ahZkY7BMf7JBXddWP4LxuPuffuzqTlN6Smmwbav0Xkd/07lTV5JTSu9vmm/4ShvvVJggyN2YDueE+Dd11uPLcwA/Y2JtNEu2TnumpHeTX8tAifKnrM6eY0ecr8selpFfsp3992ecnWh/YdzkCfz74kX</vt:lpwstr>
  </property>
  <property fmtid="{D5CDD505-2E9C-101B-9397-08002B2CF9AE}" pid="5" name="VS Team System Data DO NOT EDIT2">
    <vt:lpwstr>/w7wXHfU4P2babNvFZEKyTIIpbhnkmcO/CV780kn548eePL2fa/SN+L8yrt1lek91BSm9e/fJYXqj63duv/O721rm7Hf7tXUZPdV6/tH/7ji27wR+XdD+k/ObC1t7xisE0KK8/NWw2ib9erQAyUoDA5ZFUXx0ONJ/Ox3bTXf22fdxevfn48e6Kw3aoCr0wMNALAwR6v1a0dK7TlJ7Fwnce2ba3y5SP0A/Q4Xecg03grT0fWqBSMsl6NY/2G1KWL</vt:lpwstr>
  </property>
  <property fmtid="{D5CDD505-2E9C-101B-9397-08002B2CF9AE}" pid="6" name="VS Team System Data DO NOT EDIT3">
    <vt:lpwstr>07BzsvFq1RAdUjKVPqmlepPrtRgHqfbC3XY4WZvoW7ZpZFdDvnp6Yphd9AKxdhEMcbYjJ/P/HYgB+e6rukpo9RZTbFVgX5grbb4LfxqTDgxEU4wCF+n9WVIN7RKV6K34CFwFpnIhpNkk3lk747s7qud66qiVXVk3Jz3jx8/2D2N5Bj9EO/r42HMOzLxjjAm+Q05HGjm3LxYnVyJ2oAO2SWgNiAFk+y8efQemOaZn9gp4vyjKL9inE7dCN0ACt8k</vt:lpwstr>
  </property>
  <property fmtid="{D5CDD505-2E9C-101B-9397-08002B2CF9AE}" pid="7" name="VS Team System Data DO NOT EDIT4">
    <vt:lpwstr>MvBNIgzlp7icMufuZI3ozSU/ZFcCtkFV92hi2qMJwh69v5TnorKsDA1BO26hv4r8GJq6RjLFbqZacEuf6aE4i7PnMT9S521V50d28Tnbc5mzD1M2Cwv0o0ZlGAzDR2kHkWP0Qwx+Ci+KPOhMaiQYKtIDfc7pN4ewxfxMDnnGfwV6es7L4iR+Hy5Ii9M+f7qUwmhzKlrXbBNWi38fOTQboB14MC77VBlVGVT7xSClspFgbI2yeM4z6lSX87ko+Zd</vt:lpwstr>
  </property>
  <property fmtid="{D5CDD505-2E9C-101B-9397-08002B2CF9AE}" pid="8" name="VS Team System Data DO NOT EDIT5">
    <vt:lpwstr>yKP+Aab2Lf5EGu4dWkJXzIIBYSwHenc1m/7pMv+Q1M9iZiYpxZ38+jUZQeIOzLQUYitmFTQtbmZmwmBxOwRrpxzcfrzp8Dt+hq9aFibCPMdEDG/FNyWahzIm9WS6Ox+J01Q+hjNBbimG4WScbyFKUEgSj6h1NvxDn2mEb8KkkR7LcXhSI1yqeamGY5jVBWciahRFMEVxoYQRjyz/ZrA2WP5NgXGs3JSVfF6lnzTwKIEghi0zzF03O38wF2hgPVg</vt:lpwstr>
  </property>
  <property fmtid="{D5CDD505-2E9C-101B-9397-08002B2CF9AE}" pid="9" name="VS Team System Data DO NOT EDIT6">
    <vt:lpwstr>3/gf0wtvrdAFJE2Kez9THtuw3ZvWcgJdPxvzpvlmleW+HZvhJ4Hxjem7GWxS2Cjck02mD4Se+q6mJx1uQp2oOqXtPQ5DUNEZg90P+55CWtEPyJLTTgSQwjP4wgi6GRIBB9zM8iapHmf/7f8jMl8QKaROnGjQLiu6G3J+5m5/tutqarxNuE8aox6jTOoHtfSjAs+vsyL0qmmGcW9NohksYKMmwbCYYX5kAqi1Ppr0m2WW9id70imRsSb+Xuspi6e</vt:lpwstr>
  </property>
  <property fmtid="{D5CDD505-2E9C-101B-9397-08002B2CF9AE}" pid="10" name="VS Team System Data DO NOT EDIT7">
    <vt:lpwstr>xruwnjvRWyex7s0Nu3SGGOXjt2pdv2LujsV8DAmJsIJBmFd2Ymt0lWVnRhw1ZjIhhhkt5cdj586Hwn7RqXz9nd29dWOb5VyM4YcQo7gAxqRiXeEePdkWEGCFt8QJHChY8udPLHWM1cz00Cde1J/WawWcaQOqHeieGGcgNpsI0FQZ4ceuKombMFmizTbscdNoGYjtVZS8oxkPWSyPOPBuSlzus9PT082CXNkFVgjDToWpQSF9CF/puWLmFjnXBbZ</vt:lpwstr>
  </property>
  <property fmtid="{D5CDD505-2E9C-101B-9397-08002B2CF9AE}" pid="11" name="VS Team System Data DO NOT EDIT8">
    <vt:lpwstr>JeXXhAXKEpjjarCKjr822GdMMNuEmVIrioqdRdua1JeKWTGZTYU/o9JVeiVHkYN0Ywy9oUnoQ4Z2I0HwF72nh7OF6PoARjXUTDGdDYaW/0C4z9W2pTZAHfhENqv1CvaJCAkCu5tDkX5la/Rf7CfvUrCW+0ck6hhU4wr686QEQ8sXiR+f2Tnh/M0qXQHMccewqsJr8DAwwX9A4V1P8Vyo8K712fX8yDC7QoJw2H4pLmXlUBFPy8jyQJTAU+HUmAN</vt:lpwstr>
  </property>
  <property fmtid="{D5CDD505-2E9C-101B-9397-08002B2CF9AE}" pid="12" name="VS Team System Data DO NOT EDIT9">
    <vt:lpwstr>ETwqm2EXz2P39wq/NR/q7PY8KDzUI2A6112Mhpd2dVNjnujC/kNPTYh9mo8o2YGC2UhKb3HsxxuZ7oFVxeLab2dHcHA0ylN1hOmASlAOGKx480sm/GF3ioJ3WbdgQwxGUOK8XGzQbLkHQbG7p+VC8CKX9W37Kim8WNNcWcQCocYROmkYyOa0zT1J2qBOeYGMvhN0iwpHrYBP6MRi6biQYJB+4TUSXezGHONq0Qc6ARoKwNO/YCVg5deGk4hR0it</vt:lpwstr>
  </property>
  <property fmtid="{D5CDD505-2E9C-101B-9397-08002B2CF9AE}" pid="13" name="VS Team System Data DO NOT EDIT10">
    <vt:lpwstr>IhzAp6zuucLr8NBXpdSOyi1JA14tDt0UgQiHOfDLun2XrdTZ61PzidDdjuBWIGpyQJCZI3i2cYTPOavENUWjApU3KRh5LH22SNHLiTYvmyFGA9lsYMSqdvJAi6zPayO+YVL8Kx47jq8cYuK6ZHr0zxcyFB0LC7VMtPl+POgn0P4WkTaMriYhKM/ZZXXy0tTA4FLEs5OWDITkoQpm3LnZ72Zg2A0+iBsTspQaD3a0UzS9Q0KK1MBTomGwmas4LXl</vt:lpwstr>
  </property>
  <property fmtid="{D5CDD505-2E9C-101B-9397-08002B2CF9AE}" pid="14" name="VS Team System Data DO NOT EDIT11">
    <vt:lpwstr>jglJZUtLwUHHOCpSWWmUI2PEaq5zas0Px+Y8mTRcBAWkoasWoGGCqsE5Ua45mqSyBS0m6PT5sw16LDBm5ioJhjFZL+Rw4U6PJhkm6ZA7oBVd76J4nqS4vyDtKa23fiCokAe++6FT9tEcTNJcaab6frM9o10XzrioHfuTvuiPC70k2qs31GmX5P069VgODGaPtggKST2AjCE3kgQNq9M/2QzdC4LpocViw9gAajh9S43SNVx52s5E4l115f6S1Hm</vt:lpwstr>
  </property>
  <property fmtid="{D5CDD505-2E9C-101B-9397-08002B2CF9AE}" pid="15" name="VS Team System Data DO NOT EDIT12">
    <vt:lpwstr>f/Aw+aRlOGlZtOHjDuwazMM32YJMgmAL8iIgJxeWcEkP/GxcPGscUiAOAfuFGWxW0Qrao40E41ZhNsHTafGl0vpmGrTxJcKnKQ7BsLiUIFwjW5oyc8e5uWPzV52LU5WzP1tq/UrQmzsdUk2ShIwpKUCYw0dSPtHaaZy5CCm8coAGH67fDUyMAwzX6ZviJIpXTumLc38g9m4TmbHco3fgarjGRNbDCKuKwpDthZ0bdvsH8JgNxxbQcA8BMNYvBQi</vt:lpwstr>
  </property>
  <property fmtid="{D5CDD505-2E9C-101B-9397-08002B2CF9AE}" pid="16" name="VS Team System Data DO NOT EDIT13">
    <vt:lpwstr>zel8WZ5Hk8C7/3e6MtsgtsJoraSI57fW3litpN5aq50qux4QTE+EEY1bFsXGxqvMNo1cXODwemjiGOOeRiCktcI3D59AAVU2ENLGLMJbsOBHSbr6rngipZbyK/jIbSHVoJAgT+pjXB+q8PT0d8mpBWmSjMwi0IdgwQX2TGErRhATVFjnQmmQWbZEBnuooMaQ3JN+JOc7cjDJTznqwXOKCoXITv+n5m5uLU1VFmgtPENdUbKZxDKPlA+iOrO9B25</vt:lpwstr>
  </property>
  <property fmtid="{D5CDD505-2E9C-101B-9397-08002B2CF9AE}" pid="17" name="VS Team System Data DO NOT EDIT14">
    <vt:lpwstr>B9OttDMmFa8vKqhRpPY1dypEr8J6jmJJFp/iKU+ZPxzgXxxQkXXoururZM/NYYyVM3lyo/0apyhLPNNssWvQdXqn02cBxLShAm86OFePhHPfLNAxyhIUYgJAiz9r4oSdX0qcjY//rb42JeArJDbAB7JxUU/3YnQ9+TF97EScKPtMpWYlgDZmhjZarZRYkxjm0Ju1U5ui3h68s0iWMf9FdJCYJitr1wNy+tRNuQjJ759zqlNrJSWmQGPMJVnTuGl</vt:lpwstr>
  </property>
  <property fmtid="{D5CDD505-2E9C-101B-9397-08002B2CF9AE}" pid="18" name="VS Team System Data DO NOT EDIT15">
    <vt:lpwstr>HEmQCB8zX7/lyq3bFooqKojx8QuwGDXt/14ZErkKU/ZYr6/7FpHvmXWbQOQbqzRUKqbx/RTeBg/xYeCk+ddRZ1tcSmXZMoBjh6BLlqW9tiqq8dE1p/ORppZ+rvN/7BHcNDCq8NVj2UTOZRUq/GxHE1RXXwsR4CLx0QYpVWZXh2QWKWrVgckY7KhiWyIQRYuh7VbGgqUw2rVoaG39uINXHEnJAgn1K+nvHZq7o1m+y396vAWyYuvXQ7KMQVkh6jx</vt:lpwstr>
  </property>
  <property fmtid="{D5CDD505-2E9C-101B-9397-08002B2CF9AE}" pid="19" name="VS Team System Data DO NOT EDIT16">
    <vt:lpwstr>BHPvpGRyhuemAXGiwu3+hn+rD+xbOdfnsni2EALk2By6Qx4CD5qjgFUTwWScc66h/UCPRU2dD/bao0hEQ38UN4Cmk32Kwa3xoVri1aABpEClcFohnBtyF3FpnkNtxznC4Tja2DXignn07nQO/dyJ6goF3uUHamm6WkwOCcwZuA6nl+Fcl2RJhb9ugU+yXYESCfJCbkz1yJtp23OmBvd2vy9Ke67HgQ43QFYNL5NxvcIwrt8X3xzRLNWuDcJge9T</vt:lpwstr>
  </property>
  <property fmtid="{D5CDD505-2E9C-101B-9397-08002B2CF9AE}" pid="20" name="VS Team System Data DO NOT EDIT17">
    <vt:lpwstr>BVgO9IdM219ytdk/KRSVWzVIcwKiZ1qA7tZFgWMgZ+0elwn0+kJpnfS33BvSgKqbaRHANRqWkZLYj63uRm3umB+eMEnU+0acizQveVPCZ0qyw1FSwG6DBV+G1rHoo/7yRIMz1Q59149zcLaY7gGvQ1BPV0L47mVav51pRg3xJq4keUIoknO8BNj2TAgTC47iy3aaRelxZaxvpwmooxom75BGT5rS9y8br0+RtTqa9zbP3HrNUnG1Nz/bcctw1JX</vt:lpwstr>
  </property>
  <property fmtid="{D5CDD505-2E9C-101B-9397-08002B2CF9AE}" pid="21" name="VS Team System Data DO NOT EDIT18">
    <vt:lpwstr>B72OEJyzYa3LxNSDBMP6bhX7hrMCucO3YClqfl4fEecog4OEbDVQQ2AGgkGDQfKMn++VBMp0P+4BE6RNJYwQXVQoLB6pY+2yGlAGmc4EpcIcHgtP37gpcr2tBGg6Exga9uIUGZHXYWp3VR5sXHd9dfyC4/5FbST6ZwNcZwya2QINxvn4rjrqS39AO5IRX771tSF8s1UzOqRhbOlhcSRLKHLS2fc6Ys3lIM1hPwGn3QZyglGBZ+UZa0eHtgK7Es2</vt:lpwstr>
  </property>
  <property fmtid="{D5CDD505-2E9C-101B-9397-08002B2CF9AE}" pid="22" name="VS Team System Data DO NOT EDIT19">
    <vt:lpwstr>Glv49qAEDWScLm1kGDO8a/VhbD9Zm9Wh4DDxL8N+xec+MclCCaWeMdMuH6tFERwOI4GtL/2wdOIfzxFa2aLxzumeEjLwkqfxw5u3OxRVrGC1VVSgrAu28ZjlopbGziotFVkZRqsfiHBs/pFJ0I7PYW9NEh3K99342C9dsOI+O5mnVB3l0RpGhLir1dA19nE9EBQMq34zPQv3jCL9VA8ObK1s/10uQZfgVfD/6YOa99Rj2Za//KhDvH+jWi/aNXG</vt:lpwstr>
  </property>
  <property fmtid="{D5CDD505-2E9C-101B-9397-08002B2CF9AE}" pid="23" name="VS Team System Data DO NOT EDIT20">
    <vt:lpwstr>6tG3PbhqS5p8HdONO+a2t5Dlr7K7DEY9s6yCFfiGimYT3++8vzc336Fmy815ICd7D5f1TNOvHfDgpEr8FWisNBK0kyqjbM9e6M5C3zwBmNEh3DD7bJMY3vsUEoRN+rZ/P2oxNx2rJxZvPA+eOSlBIPaYnws+cRmteBLc05K83a7o4VxkVANU05JNW3CN0gRj2EDX4iYEe+fqS9XzowDUGqQE48R5r/awXL4Z3ytNLKFmXWBZUiPB8Cg09wfZ75m</vt:lpwstr>
  </property>
  <property fmtid="{D5CDD505-2E9C-101B-9397-08002B2CF9AE}" pid="24" name="VS Team System Data DO NOT EDIT21">
    <vt:lpwstr>RxLsHHi+HOj8fqMVAkByjG6IdwRAV4n2QEzCW10gw9i47JJ0DnX5F40dKmzlQh6O6YcFC0EaCMrO9G1bmaNp0ww4RtQVsbLOH8lTIPX93XXSpWL5OdSyNmLHZHEpkp9mY9aIolrIB61G8SoRZwfBjI0FTcG55m8bcjim2X7ErcheFLgnSwA3JjrhklWQu3SRhSrMNSYmn8QbrQjCU9DZrxU4/XQk2VsaDxPNWYLuoRjLFbFGxS3eXtfqqjZCygO</vt:lpwstr>
  </property>
  <property fmtid="{D5CDD505-2E9C-101B-9397-08002B2CF9AE}" pid="25" name="VS Team System Data DO NOT EDIT22">
    <vt:lpwstr>6QG2AguLwOTOZ0gNHR82Ne50+NB8h6w4QefNwvgemsaw8MbzUSjOvjbVkWpVNbfVOLxnG6C7ydGzEV3A2ThO1ZL4vdaBclJEnTfXvkqCkE0MKWAoRZHqYQfCCXE1MM7k5VXconLOxpvVBGgRxvNFz/a4DB6gX9eCfi7TcFKXl17OFyPDm3xZK2cM3xJRAlYIenJqeZWrijPD/wtkrJwXqfFwVVPaxM7AKMCtL7stjJOJ5Fr1/TB0QBHlxCQeCtQ</vt:lpwstr>
  </property>
  <property fmtid="{D5CDD505-2E9C-101B-9397-08002B2CF9AE}" pid="26" name="VS Team System Data DO NOT EDIT23">
    <vt:lpwstr>AtNShCu194nb6XDawc3bvAqynhMM+hjrM/28XrHiscEmsrmHXujF0VU95g4o/Qd0Ktg7NZiqlUwWiWm64MRF/4xwvbsF66NvKYWDEhwWoemCQwxEkk/5qdLvaSSFNaNelA1187EDaXpwDjXzm6Rlp5rB5VpmdK3QwxXLfeO88oiy+nbKqwaQTE05Umm+0jNNc6kOxMjdiKhDX3eDD7b9bQFurg8WMTlRSVcvuwViam6YD6INobaJ8Q0w99xb870</vt:lpwstr>
  </property>
  <property fmtid="{D5CDD505-2E9C-101B-9397-08002B2CF9AE}" pid="27" name="VS Team System Data DO NOT EDIT24">
    <vt:lpwstr>4DYtddgs8xoda5QHlRbdCN0AqoPexHeN2MbQ6ooecJXwgP8hDKMV3MVASjAM1NYZydY0OzfPhaj7Xu4qa1ElaIepJWeAXKUEg+tt201h+YsaGpR6vUDauxTg3afyyU2byfrD21S8ujkuy/OhM9j15wfNJizpT0VGHf51Fyt6HKkD6smsPM/3VmBpVyfDICZ6Qjn/RY7n/3ZknaC9Dn55xVT1bX3J8uLq7QdKMtmB6vqU6SOpCoTpLcrpLgUzj9v</vt:lpwstr>
  </property>
  <property fmtid="{D5CDD505-2E9C-101B-9397-08002B2CF9AE}" pid="28" name="VS Team System Data DO NOT EDIT25">
    <vt:lpwstr>uVTEMFaIFh47beGWqmxISBKrSbU+ZNVqxy504DzS9lJWFrFQBTE8SVkFVfUPQiSsFeEdT5ci4NMrJVA2wtSbdcN6tkODcpKd9Xh6d+gt1qkua8sZjxV78X/nAlIVbVYzAEBt89ot8oQNwNWvMNNcoacdNXhfbxSJn9c6etTPIGqMZB4fsc1BtkgIEso9lTpbMJ3xUDVBV55GJ2/TrHtZ6xtithdN7xgRjwqY3PtYob3zo3jK7LXJUb5nWIIfHhw</vt:lpwstr>
  </property>
  <property fmtid="{D5CDD505-2E9C-101B-9397-08002B2CF9AE}" pid="29" name="VS Team System Data DO NOT EDIT26">
    <vt:lpwstr>Mw/NZIMM4p+Y3yP5jKb6ciogcESiCEH8k0nxHirZNh+T91B5Peiy6MNh7YJ6aRYBjoWs/ExVOqNkwE7HFDyJgJMGY0r6wnq3aYqlPJECRdT/e7WexUuuWPqhVn+8GJ1qGkD6CGhk1dWVEKW+QLPFjOFYE+VvYjyFKNMDyFt7RKy/y8rM18Y6nqWP2sgc5PFLtbRrA/EFuh6w5Jywsztm+IMIoc7q2lZd7D+Zcigd/ktZx+3sBaN27L/qBRS264d</vt:lpwstr>
  </property>
  <property fmtid="{D5CDD505-2E9C-101B-9397-08002B2CF9AE}" pid="30" name="VS Team System Data DO NOT EDIT27">
    <vt:lpwstr>cPKVK2ywujDIYoTeb9p6lynSFlF/RhyCPgtlsDEO8DgPUijYnbD0xMtrYcL2wEU/KGes97AiQpSgqG7fiyyPpHKeaDnQrzauXgTJ6tVsN/FsbsnNHDDIA7cdUoSd+eFhHibOKN+Chidphn3MY6sphjQ7iwPQVWj08RtOp3VmtFp92EP3ejU8uPYPeNHoeEG4hIENYjrKE5GD+xUKcUr33aUwDY+we+BFnz3MqX+rUHiUoAw1XDXUrs+BqBrKeBm</vt:lpwstr>
  </property>
  <property fmtid="{D5CDD505-2E9C-101B-9397-08002B2CF9AE}" pid="31" name="VS Team System Data DO NOT EDIT28">
    <vt:lpwstr>AFUOKfiPmKWhVc66WRrqSzxcReCB1Ugwpro45KlogXE/3RHsR2pCxmAaN2NLjem+0Us8+be0+VaX5e1YQUCNImSdNhKE6bu7Z3re8nTlAYxGB3bQCwkCnU9FTe7uF9MZwGh0jC0wFgREp+lYaTGkAGmU4JfqhQRDC6jLgkewUqHjlW+r/7nQI+k+WV559UMDaD8B/FKokGBouJ+/nWhpp3eUBqW1MzPW0U2/DDo/OsZtKK62W3ghYxd6qzWNQjd</vt:lpwstr>
  </property>
  <property fmtid="{D5CDD505-2E9C-101B-9397-08002B2CF9AE}" pid="32" name="VS Team System Data DO NOT EDIT29">
    <vt:lpwstr>IVtQNvWjlbtKV76b+Kt3s0n3ixzttLr0wTsAkzkaC4gnqlC7nkZKjc1PmvGBrubkyQObACq4ayDcVfcQYF0b/MLz1J886aPDVMxPLBOVaPNX0qUk7vrnkB3sWmUC7GuD38IPHiiDXuztdFTq3euXt77xNIDPLLHZkbzENPdlFEME0n2uMF9Gv05Sel1cXmr1l7QDgW9RxCLJtJBgncVel7ZCzpacE2nptBVApRYcfEWskCGdvE1rJbDjjWz1WQO</vt:lpwstr>
  </property>
  <property fmtid="{D5CDD505-2E9C-101B-9397-08002B2CF9AE}" pid="33" name="VS Team System Data DO NOT EDIT30">
    <vt:lpwstr>qIihc7SGCFSUgQli63+cQrGLyk1Vr9ToPago6reCQh0xPqTIJiPncNkr9XHfsj1uQQDqyJNYWsp7vyW3h8aslLJtNPTekvmgSbtefDHlwpwTh9bu7sHTs3d/CB44ZgXmqIEh8Tmt19WXCH0+LLkYMNsYYdCJMAzIJvJCj6a3fUWXuAeIAJPkMsos6msNn0u5lz33onJft/tc34Cc9Y02DVzDxT6QpKr0wtM29bF6XN5LVRet5wgMH63fie4ZkTI</vt:lpwstr>
  </property>
  <property fmtid="{D5CDD505-2E9C-101B-9397-08002B2CF9AE}" pid="34" name="VS Team System Data DO NOT EDIT31">
    <vt:lpwstr>UG4HT+X+VN+kk/ZWbCmGzS4idvalDG9xnnmrFFZbdpZI31VN7XAXOnpNOloHr9H8rRgN7ZnaQvSTxRYmDFfW/nBuv/FTAYl/yNPziYC2xk0EowbvG1Rwt8PI2Vuo2OQRFQBNZJgrxkpwST57nJKReTQgteqwdQhNaJw5qCQYBC12UIoC9e+Hwe+G9AkdsM4Iy5J19SlHg1JHMWbXaq55cDXIadfhpz/ttxBXIJWH5cTkAZPxgpasiuMG/5hYbfh</vt:lpwstr>
  </property>
  <property fmtid="{D5CDD505-2E9C-101B-9397-08002B2CF9AE}" pid="35" name="VS Team System Data DO NOT EDIT32">
    <vt:lpwstr>jg7QZniz8tagy6mRYKzJbofkGcmc+s9/p7yWcPHypGSX0V26cUni7d2QRKm7jv3Y9QnZ70mSJVE09lxEXmwydJkE424fPyJl4YgdvyKlH7MuaDNhPPB+XVJio2EDx4FqQUCTVgowNl9R1M4bcqnsqdQyns9we1jVOWEiON2/c6aB9De2gkS8bJkXDeI4hlbtJBNPD6U2j92D1Re0xGQJD/cyAIOMUoChXQsz8JLX1Lm+sL+yagoKC5Bj99BqXpm</vt:lpwstr>
  </property>
  <property fmtid="{D5CDD505-2E9C-101B-9397-08002B2CF9AE}" pid="36" name="VS Team System Data DO NOT EDIT33">
    <vt:lpwstr>JKsphOk66WU+xXZx0sx4TBv2kUoBiGarFTHZfg1aLmbSHoJkh7wVgqU8jwVAVKvZNHCIa1VMriXMckKhwatKYaTojjOn8SKloJ2y/sL9BBlO4E9Pre8l3erTObklflC/OfZHbKnsf1YQw/AG86m00lTJtMLpf2n+0DnivTvidDMmNTIByznLPEUbgv0XWnVFBHHkrsFyrkWBoCKJ6/7pMv+TPNt4LE3gqnObwBw0vKUFYnLe0yp94Wv1+T8tlzY</vt:lpwstr>
  </property>
  <property fmtid="{D5CDD505-2E9C-101B-9397-08002B2CF9AE}" pid="37" name="VS Team System Data DO NOT EDIT34">
    <vt:lpwstr>16dz9D1ABVZd3UfHb6VUVr1SLNhSnaRFzsa7h66YgcThtNW9TgFSolGFeovfVsWMpCYzdN8/QjErNTHDoNl8PZ7kbQ6bgcHOxGYGLro9wpL8cz+/ntLtwhqKrAm7jFGKW/48IQu90C9cIQrVugPGsND79xyX/iFLYZfFVOYzACy0+aaAUpgI0E4wy6OwmXVFYwXT4tjnn9578Xs40CP41iL3Z30SZzQ0qou9mRyPX3uyRJ9j77zw2g35uWN8q7C</vt:lpwstr>
  </property>
  <property fmtid="{D5CDD505-2E9C-101B-9397-08002B2CF9AE}" pid="38" name="VS Team System Data DO NOT EDIT35">
    <vt:lpwstr>2P71G73Cd0+1ftPiBmFH/gREgTK/fMQi2dYg9JogQ8ySAkCrT//l3s1T/Kd+sXMEm+9Z0t07e5JvHfDdcZWMY1XbhBmmxXJ1pHv70ZrNzGt3eQ7a3em2dbF12WjCBy3WTuIMkbPGiKMMLvy6Y9F5k37+oRE0s0ZMFaEQES8Rjd/nhoSPUq/56DdNtsGm4jjXV/qL0WZ/2HrOZAeD2gRtwk8uDtGI8G4C9s3RL8tarWqviD6bdRVFUoawKjpeczr</vt:lpwstr>
  </property>
  <property fmtid="{D5CDD505-2E9C-101B-9397-08002B2CF9AE}" pid="39" name="VS Team System Data DO NOT EDIT36">
    <vt:lpwstr>JaUsbS5HhzKIza280FCgJCQIZG7p8+dz5RTOlqafl/hx+joOBlMM0PrIOBQYn20qTeynf7BVz27QJWutmSQVSXWyGbymyXeyb2beTI/5kTpvyrzOU2L37YamUxvD1+HVuhvTTYxiJHUNNJcmAky30ITyA0SVjYns9HO8c90V4zYnPHfNImm9zUkHP8jUSXwfTFNtJLMvvu85H++ZGp8zdtT5JFVNdhjd8xRomk2XWP+4Q7IbohmhUPEHB3DkxYa</vt:lpwstr>
  </property>
  <property fmtid="{D5CDD505-2E9C-101B-9397-08002B2CF9AE}" pid="40" name="VS Team System Data DO NOT EDIT37">
    <vt:lpwstr>qayHB+hFuqXwq+Q+S2qjrMGFqROEqHSHBI7rlS/1gmekYVKMKvz0oJFhU215zbB5IRa/bN8ZtkZ6G1+jDTRKEBJ/+HU/GK27pLa1IWRaHg6Uww3dHUI90wwsZyXQZ01yjhD5TjIfVFVw1qctYveRNh+Vn+vQe2M/MnylzCI8FLKLaFjA1iApgb05Cp9UKpea34j5FXlwwuVB/xDRuoR61BQnds5M37PwU0efFSnCLMeyTFSZg+8FGgmFD9nvbyU</vt:lpwstr>
  </property>
  <property fmtid="{D5CDD505-2E9C-101B-9397-08002B2CF9AE}" pid="41" name="VS Team System Data DO NOT EDIT38">
    <vt:lpwstr>+83nb5KdJDDhHVIA+06qQAY+WpdS1WUyRGRS1wnoQpmSmZTmaaHefhK8zhvnKrRCVuB6teBCaG08fk7Kx7roPZvwgU3EFPiGQTxKAHQUoQ5pBXSvNk5oNzS2uSH5b7EDrEIaCaCmKaw+naHXttKEUjEkQDrcdXuxOCLw02EoxTt+9OWNhsTjiEVVH79rbQyRtNnrqbeRzf5xXPplp8Tw5xOI3u39vtL/8P</vt:lpwstr>
  </property>
  <property fmtid="{D5CDD505-2E9C-101B-9397-08002B2CF9AE}" pid="42" name="VS Team System Data DO NOT EDIT">
    <vt:i4>39</vt:i4>
  </property>
  <property fmtid="{D5CDD505-2E9C-101B-9397-08002B2CF9AE}" pid="43" name="VS Team System Additional Data DO NOT EDIT0">
    <vt:lpwstr>RVpSRwEAAABVj8tqwzAQRX/FaG/LrzaJsR0CoRAI2SjJftCjEViS0cgm7ddXSWpKF1qMOJx7b7u9myGZpUftbEeKLCfbvmXs/1cSIYsdmbxtkN+kAUyN5t6hUyHlzjSzxgkGDJPQrgkSDH5hkKZxSmkuMTgPn5L07SmJyhMYiSNwuRNCh5gCwx4CsF9qSYv49YGfFe7GcdAcHuzBYgDL5WFPktARRnq1Wr1tNkWZlvm6Tqt1VaQ5fy9TXteqEpt</vt:lpwstr>
  </property>
  <property fmtid="{D5CDD505-2E9C-101B-9397-08002B2CF9AE}" pid="44" name="VS Team System Additional Data DO NOT EDIT1">
    <vt:lpwstr>KlXXd0uufbVFc/LA4biGM2FAq5JzB9+RlFlfRi9JWhmPsZug5jvpwkxXPFnQnjLYag3+dc5Xl9OheFZn0c1ydAZr7M5ie4mOs/wE=</vt:lpwstr>
  </property>
  <property fmtid="{D5CDD505-2E9C-101B-9397-08002B2CF9AE}" pid="45" name="VS Team System Additional Data DO NOT EDIT">
    <vt:i4>2</vt:i4>
  </property>
</Properties>
</file>